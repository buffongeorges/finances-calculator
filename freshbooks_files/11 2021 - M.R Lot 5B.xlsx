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codeName="ThisWorkbook"/>
  <bookViews>
    <workbookView xWindow="-105" yWindow="-105" windowWidth="20730" windowHeight="11760"/>
  </bookViews>
  <sheets>
    <sheet name="Summary" sheetId="2" r:id="rId1"/>
  </sheets>
  <definedNames>
    <definedName name="ColumnTitle2">#REF!</definedName>
    <definedName name="ColumnTitle3">#REF!</definedName>
    <definedName name="FY_YEAR">Summary!$C$3</definedName>
    <definedName name="FY_YEAR_2">Summary!$D$3</definedName>
    <definedName name="_xlnm.Print_Titles" localSheetId="0">Summary!$1:$3</definedName>
    <definedName name="RowTitleRegion1..D12">Summary!#REF!</definedName>
    <definedName name="Title1">Summary!$B$3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43" i="2"/>
  <c r="H43"/>
  <c r="C43"/>
  <c r="G43"/>
  <c r="I43" l="1"/>
  <c r="E43"/>
</calcChain>
</file>

<file path=xl/sharedStrings.xml><?xml version="1.0" encoding="utf-8"?>
<sst xmlns="http://schemas.openxmlformats.org/spreadsheetml/2006/main" count="55" uniqueCount="52">
  <si>
    <t>DATE</t>
  </si>
  <si>
    <t>DESCRIPTION</t>
  </si>
  <si>
    <t>HOME OWNER STATEMENT</t>
  </si>
  <si>
    <t>INCOME USD  RECETTES USD</t>
  </si>
  <si>
    <t>INCOME EURO RECETTES EURO</t>
  </si>
  <si>
    <t>EXPENSE USD DEPENSES USD</t>
  </si>
  <si>
    <t>EXPENSE EURO DEPENSES EURO</t>
  </si>
  <si>
    <t>BALANCE EUROS         SOLDE EUROS</t>
  </si>
  <si>
    <t>BEGINNING BALANCE/SOLDE INITIAL</t>
  </si>
  <si>
    <t>ENDING BALANCE/SOLDE DE CLOTURE</t>
  </si>
  <si>
    <t>BALANCE USD        SOLDE USD</t>
  </si>
  <si>
    <t>WAGES/SALAIRES</t>
  </si>
  <si>
    <t>CONTRACTORS</t>
  </si>
  <si>
    <t>PROFESSIONAL SERVICES</t>
  </si>
  <si>
    <t>THE PROPERTY INK</t>
  </si>
  <si>
    <t>A L'EAU PISCINES</t>
  </si>
  <si>
    <t xml:space="preserve">                                                                                                                          ANSE MARGOT BAT A - BAIE NETTLEE - 97150 SAINT-MARTIN  WEB:WWW.THEPROPERTYINK.COM TEL: +590.690.760.984                  EMAIL: INFO@THEPROPERTYINK.COM</t>
  </si>
  <si>
    <t>SUPPLIES</t>
  </si>
  <si>
    <t>RENTAL INCOME</t>
  </si>
  <si>
    <t>UTILITIES</t>
  </si>
  <si>
    <t>HOPE GARDEN</t>
  </si>
  <si>
    <t xml:space="preserve">EDF </t>
  </si>
  <si>
    <t>TAXES &amp; LICENCES</t>
  </si>
  <si>
    <t>OWNER WIRE</t>
  </si>
  <si>
    <t xml:space="preserve"> $-   </t>
  </si>
  <si>
    <t>PAPIUS NARA</t>
  </si>
  <si>
    <t>EXOWATER</t>
  </si>
  <si>
    <t>APC - ATLANTIC PEST CONTROL</t>
  </si>
  <si>
    <t>CURRENCY EXCHANGE</t>
  </si>
  <si>
    <t>ATP - ANTILLES TECHNIQUES PLOMBERIE</t>
  </si>
  <si>
    <t>SEGMIN</t>
  </si>
  <si>
    <t>ECLEAN</t>
  </si>
  <si>
    <t>JC BRICO</t>
  </si>
  <si>
    <t>DCH MAINTENANCE</t>
  </si>
  <si>
    <t>COGELEC</t>
  </si>
  <si>
    <t>AF DISTRIBUTION</t>
  </si>
  <si>
    <t>BRUNO RAVIER EXPENSES - AUG 2021</t>
  </si>
  <si>
    <t>BRUNO RAVIER EXPENSES - SEPT 2021</t>
  </si>
  <si>
    <t>BRUNO RAVIER EXPENSES - OCT 2021</t>
  </si>
  <si>
    <t>BRUNO RAVIER EXPENSES - NOV 2021</t>
  </si>
  <si>
    <t>AMAZON.COM</t>
  </si>
  <si>
    <t>BREAKFAST BASKETS</t>
  </si>
  <si>
    <t>ACE MEGA CENTER</t>
  </si>
  <si>
    <t>CESU/URSSAF (SOCIAL SECURITY) - SEPT 2021</t>
  </si>
  <si>
    <t>CHARLES CARLINE</t>
  </si>
  <si>
    <t xml:space="preserve"> $       0</t>
  </si>
  <si>
    <t>ACCOUNT MANAGED BY: JESSICA MINGO</t>
  </si>
  <si>
    <t>CHESTERFIELDS 30/10 - 6/11/2021 (SXM BLUE)</t>
  </si>
  <si>
    <t>DAILEY 13 - 20/11/2021 (SXM BLUE)</t>
  </si>
  <si>
    <t>MICA 8 - 13/11/2021 (DIRECT)</t>
  </si>
  <si>
    <t>REPORT GENERATED ON 18/11/2021</t>
  </si>
  <si>
    <t>LA DACHA LOT 5B NOVEMBER 2021</t>
  </si>
</sst>
</file>

<file path=xl/styles.xml><?xml version="1.0" encoding="utf-8"?>
<styleSheet xmlns="http://schemas.openxmlformats.org/spreadsheetml/2006/main">
  <numFmts count="4">
    <numFmt numFmtId="164" formatCode="_([$€-2]\ * #,##0.00_);_([$€-2]\ * \(#,##0.00\);_([$€-2]\ * &quot;-&quot;??_);_(@_)"/>
    <numFmt numFmtId="165" formatCode="_([$$-409]* #,##0.00_);_([$$-409]* \(#,##0.00\);_([$$-409]* &quot;-&quot;??_);_(@_)"/>
    <numFmt numFmtId="166" formatCode="_-[$$-409]* #,##0.00_ ;_-[$$-409]* \-#,##0.00\ ;_-[$$-409]* &quot;-&quot;??_ ;_-@_ "/>
    <numFmt numFmtId="167" formatCode="_-[$€-2]\ * #,##0.00_-;\-[$€-2]\ * #,##0.00_-;_-[$€-2]\ * &quot;-&quot;??_-;_-@_-"/>
  </numFmts>
  <fonts count="21">
    <font>
      <sz val="11"/>
      <color theme="1" tint="0.14993743705557422"/>
      <name val="Franklin Gothic Medium"/>
      <family val="2"/>
      <scheme val="minor"/>
    </font>
    <font>
      <sz val="11"/>
      <color theme="1" tint="0.14996795556505021"/>
      <name val="Franklin Gothic Medium"/>
      <family val="2"/>
      <scheme val="minor"/>
    </font>
    <font>
      <b/>
      <sz val="28"/>
      <color theme="4"/>
      <name val="Franklin Gothic Medium"/>
      <family val="2"/>
      <scheme val="major"/>
    </font>
    <font>
      <b/>
      <sz val="11"/>
      <color theme="1"/>
      <name val="Franklin Gothic Medium"/>
      <family val="2"/>
      <scheme val="minor"/>
    </font>
    <font>
      <sz val="11"/>
      <color theme="1" tint="0.14993743705557422"/>
      <name val="Franklin Gothic Medium"/>
      <family val="2"/>
      <scheme val="minor"/>
    </font>
    <font>
      <b/>
      <sz val="11"/>
      <color theme="1" tint="0.14993743705557422"/>
      <name val="Franklin Gothic Medium"/>
      <family val="2"/>
      <scheme val="minor"/>
    </font>
    <font>
      <sz val="12"/>
      <color theme="1" tint="0.14993743705557422"/>
      <name val="Franklin Gothic Medium"/>
      <family val="2"/>
      <scheme val="major"/>
    </font>
    <font>
      <sz val="12"/>
      <color theme="1" tint="0.14993743705557422"/>
      <name val="Franklin Gothic Medium"/>
      <family val="2"/>
      <scheme val="minor"/>
    </font>
    <font>
      <sz val="11"/>
      <color theme="3"/>
      <name val="Franklin Gothic Medium"/>
      <family val="2"/>
      <scheme val="minor"/>
    </font>
    <font>
      <b/>
      <sz val="14"/>
      <color theme="1" tint="0.34998626667073579"/>
      <name val="Franklin Gothic Medium"/>
      <family val="2"/>
      <scheme val="major"/>
    </font>
    <font>
      <b/>
      <sz val="11"/>
      <color theme="1" tint="0.34998626667073579"/>
      <name val="Franklin Gothic Medium"/>
      <family val="2"/>
      <scheme val="minor"/>
    </font>
    <font>
      <b/>
      <sz val="24"/>
      <color theme="1" tint="0.34998626667073579"/>
      <name val="Franklin Gothic Medium"/>
      <family val="2"/>
      <scheme val="major"/>
    </font>
    <font>
      <sz val="8"/>
      <color theme="1" tint="0.14993743705557422"/>
      <name val="Franklin Gothic Medium"/>
      <family val="2"/>
      <scheme val="minor"/>
    </font>
    <font>
      <sz val="16"/>
      <color theme="1" tint="0.14993743705557422"/>
      <name val="Franklin Gothic Medium"/>
      <family val="2"/>
      <scheme val="minor"/>
    </font>
    <font>
      <sz val="8"/>
      <name val="Franklin Gothic Medium"/>
      <family val="2"/>
      <scheme val="minor"/>
    </font>
    <font>
      <sz val="12"/>
      <color rgb="FFFF0000"/>
      <name val="Franklin Gothic Medium"/>
      <family val="2"/>
      <scheme val="minor"/>
    </font>
    <font>
      <sz val="11"/>
      <color theme="1" tint="0.34998626667073579"/>
      <name val="Franklin Gothic Medium"/>
      <family val="2"/>
      <scheme val="minor"/>
    </font>
    <font>
      <b/>
      <sz val="16"/>
      <color theme="1" tint="0.14993743705557422"/>
      <name val="Franklin Gothic Medium"/>
      <family val="2"/>
      <scheme val="minor"/>
    </font>
    <font>
      <b/>
      <sz val="16"/>
      <color rgb="FFFF0000"/>
      <name val="Franklin Gothic Medium"/>
      <family val="2"/>
      <scheme val="minor"/>
    </font>
    <font>
      <b/>
      <sz val="12"/>
      <color rgb="FFFF0000"/>
      <name val="Franklin Gothic Medium"/>
      <family val="2"/>
      <scheme val="minor"/>
    </font>
    <font>
      <b/>
      <sz val="12"/>
      <name val="Franklin Gothic Medium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dotted">
        <color theme="0" tint="-0.34998626667073579"/>
      </left>
      <right style="dotted">
        <color theme="0" tint="-0.34998626667073579"/>
      </right>
      <top/>
      <bottom style="thick">
        <color theme="4"/>
      </bottom>
      <diagonal/>
    </border>
    <border>
      <left/>
      <right/>
      <top/>
      <bottom style="double">
        <color theme="1" tint="0.14996795556505021"/>
      </bottom>
      <diagonal/>
    </border>
    <border>
      <left/>
      <right style="dashed">
        <color theme="2" tint="-9.9948118533890809E-2"/>
      </right>
      <top style="thin">
        <color theme="4"/>
      </top>
      <bottom style="medium">
        <color theme="4"/>
      </bottom>
      <diagonal/>
    </border>
    <border>
      <left/>
      <right style="dashed">
        <color theme="2" tint="-9.9948118533890809E-2"/>
      </right>
      <top/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>
      <alignment horizontal="left" vertical="center" wrapText="1" indent="1"/>
    </xf>
    <xf numFmtId="0" fontId="2" fillId="0" borderId="2" applyNumberFormat="0" applyFill="0" applyAlignment="0" applyProtection="0"/>
    <xf numFmtId="0" fontId="6" fillId="0" borderId="0" applyNumberFormat="0" applyFill="0" applyBorder="0" applyProtection="0">
      <alignment vertical="center"/>
    </xf>
    <xf numFmtId="0" fontId="7" fillId="0" borderId="1" applyNumberFormat="0" applyFill="0" applyProtection="0">
      <alignment horizontal="right" vertical="center" indent="1"/>
    </xf>
    <xf numFmtId="0" fontId="7" fillId="0" borderId="0" applyFill="0" applyBorder="0" applyProtection="0">
      <alignment horizontal="right" vertical="center" indent="1"/>
    </xf>
    <xf numFmtId="38" fontId="4" fillId="0" borderId="0" applyFont="0" applyFill="0" applyBorder="0" applyAlignment="0" applyProtection="0"/>
    <xf numFmtId="0" fontId="5" fillId="3" borderId="3" applyNumberFormat="0" applyProtection="0">
      <alignment horizontal="left" vertical="center"/>
    </xf>
    <xf numFmtId="0" fontId="3" fillId="2" borderId="0" applyNumberFormat="0" applyProtection="0">
      <alignment horizontal="left" vertical="center"/>
    </xf>
    <xf numFmtId="38" fontId="4" fillId="0" borderId="0" applyFont="0" applyFill="0" applyBorder="0" applyProtection="0">
      <alignment horizontal="right" vertical="center" indent="1"/>
    </xf>
    <xf numFmtId="0" fontId="8" fillId="5" borderId="4" applyNumberFormat="0" applyProtection="0">
      <alignment horizontal="left" vertical="center"/>
    </xf>
    <xf numFmtId="0" fontId="1" fillId="4" borderId="0" applyNumberFormat="0" applyBorder="0" applyAlignment="0" applyProtection="0"/>
  </cellStyleXfs>
  <cellXfs count="77">
    <xf numFmtId="0" fontId="0" fillId="0" borderId="0" xfId="0">
      <alignment horizontal="left" vertical="center" wrapText="1" indent="1"/>
    </xf>
    <xf numFmtId="0" fontId="9" fillId="0" borderId="0" xfId="1" applyFont="1" applyBorder="1" applyAlignment="1" applyProtection="1">
      <alignment horizontal="left" vertical="center"/>
    </xf>
    <xf numFmtId="0" fontId="0" fillId="0" borderId="0" xfId="0" applyBorder="1" applyAlignment="1">
      <alignment vertical="center" wrapText="1"/>
    </xf>
    <xf numFmtId="165" fontId="5" fillId="6" borderId="5" xfId="8" applyNumberFormat="1" applyFont="1" applyFill="1" applyBorder="1">
      <alignment horizontal="right" vertical="center" indent="1"/>
    </xf>
    <xf numFmtId="0" fontId="12" fillId="0" borderId="0" xfId="0" applyFont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164" fontId="5" fillId="6" borderId="5" xfId="6" applyNumberFormat="1" applyFill="1" applyBorder="1">
      <alignment horizontal="left" vertical="center"/>
    </xf>
    <xf numFmtId="0" fontId="0" fillId="0" borderId="8" xfId="0" applyBorder="1">
      <alignment horizontal="left" vertical="center" wrapText="1" indent="1"/>
    </xf>
    <xf numFmtId="0" fontId="7" fillId="0" borderId="8" xfId="3" applyBorder="1" applyAlignment="1">
      <alignment horizontal="center" vertical="center" wrapText="1"/>
    </xf>
    <xf numFmtId="0" fontId="7" fillId="0" borderId="9" xfId="3" applyBorder="1" applyAlignment="1">
      <alignment horizontal="center" vertical="center" wrapText="1"/>
    </xf>
    <xf numFmtId="164" fontId="5" fillId="6" borderId="11" xfId="6" applyNumberFormat="1" applyFill="1" applyBorder="1">
      <alignment horizontal="left" vertical="center"/>
    </xf>
    <xf numFmtId="165" fontId="10" fillId="6" borderId="6" xfId="8" applyNumberFormat="1" applyFont="1" applyFill="1" applyBorder="1">
      <alignment horizontal="right" vertical="center" indent="1"/>
    </xf>
    <xf numFmtId="165" fontId="0" fillId="0" borderId="6" xfId="8" applyNumberFormat="1" applyFont="1" applyFill="1" applyBorder="1" applyProtection="1">
      <alignment horizontal="right" vertical="center" indent="1"/>
    </xf>
    <xf numFmtId="165" fontId="4" fillId="6" borderId="13" xfId="8" applyNumberFormat="1" applyFont="1" applyFill="1" applyBorder="1">
      <alignment horizontal="right" vertical="center" indent="1"/>
    </xf>
    <xf numFmtId="164" fontId="4" fillId="6" borderId="13" xfId="8" applyNumberFormat="1" applyFont="1" applyFill="1" applyBorder="1">
      <alignment horizontal="right" vertical="center" indent="1"/>
    </xf>
    <xf numFmtId="0" fontId="7" fillId="0" borderId="15" xfId="3" applyBorder="1" applyAlignment="1">
      <alignment horizontal="center" vertical="center" wrapText="1"/>
    </xf>
    <xf numFmtId="0" fontId="0" fillId="6" borderId="5" xfId="8" applyNumberFormat="1" applyFont="1" applyFill="1" applyBorder="1" applyProtection="1">
      <alignment horizontal="right" vertical="center" indent="1"/>
    </xf>
    <xf numFmtId="0" fontId="0" fillId="6" borderId="6" xfId="8" applyNumberFormat="1" applyFont="1" applyFill="1" applyBorder="1" applyProtection="1">
      <alignment horizontal="right" vertical="center" indent="1"/>
    </xf>
    <xf numFmtId="0" fontId="0" fillId="6" borderId="11" xfId="8" applyNumberFormat="1" applyFont="1" applyFill="1" applyBorder="1" applyProtection="1">
      <alignment horizontal="right" vertical="center" indent="1"/>
    </xf>
    <xf numFmtId="0" fontId="5" fillId="6" borderId="5" xfId="0" applyNumberFormat="1" applyFont="1" applyFill="1" applyBorder="1" applyAlignment="1">
      <alignment horizontal="left" vertical="center" wrapText="1"/>
    </xf>
    <xf numFmtId="0" fontId="10" fillId="6" borderId="13" xfId="6" applyFont="1" applyFill="1" applyBorder="1" applyAlignment="1">
      <alignment horizontal="left" vertical="center"/>
    </xf>
    <xf numFmtId="0" fontId="5" fillId="6" borderId="5" xfId="6" applyFill="1" applyBorder="1" applyAlignment="1">
      <alignment horizontal="left" vertical="center"/>
    </xf>
    <xf numFmtId="0" fontId="5" fillId="6" borderId="5" xfId="0" applyFont="1" applyFill="1" applyBorder="1" applyAlignment="1">
      <alignment vertical="center" wrapText="1"/>
    </xf>
    <xf numFmtId="165" fontId="0" fillId="7" borderId="5" xfId="8" applyNumberFormat="1" applyFont="1" applyFill="1" applyBorder="1" applyProtection="1">
      <alignment horizontal="right" vertical="center" indent="1"/>
    </xf>
    <xf numFmtId="165" fontId="0" fillId="7" borderId="6" xfId="8" applyNumberFormat="1" applyFont="1" applyFill="1" applyBorder="1" applyProtection="1">
      <alignment horizontal="right" vertical="center" indent="1"/>
    </xf>
    <xf numFmtId="164" fontId="0" fillId="7" borderId="5" xfId="8" applyNumberFormat="1" applyFont="1" applyFill="1" applyBorder="1" applyProtection="1">
      <alignment horizontal="right" vertical="center" indent="1"/>
    </xf>
    <xf numFmtId="164" fontId="0" fillId="6" borderId="5" xfId="8" applyNumberFormat="1" applyFont="1" applyFill="1" applyBorder="1" applyProtection="1">
      <alignment horizontal="right" vertical="center" indent="1"/>
    </xf>
    <xf numFmtId="164" fontId="0" fillId="7" borderId="11" xfId="8" applyNumberFormat="1" applyFont="1" applyFill="1" applyBorder="1" applyProtection="1">
      <alignment horizontal="right" vertical="center" indent="1"/>
    </xf>
    <xf numFmtId="0" fontId="0" fillId="0" borderId="19" xfId="0" applyFont="1" applyFill="1" applyBorder="1" applyAlignment="1">
      <alignment horizontal="center" vertical="center" wrapText="1"/>
    </xf>
    <xf numFmtId="165" fontId="16" fillId="7" borderId="5" xfId="8" applyNumberFormat="1" applyFont="1" applyFill="1" applyBorder="1" applyAlignment="1">
      <alignment horizontal="right" vertical="center" indent="1"/>
    </xf>
    <xf numFmtId="165" fontId="16" fillId="7" borderId="6" xfId="8" applyNumberFormat="1" applyFont="1" applyFill="1" applyBorder="1" applyAlignment="1">
      <alignment horizontal="right" vertical="center" indent="1"/>
    </xf>
    <xf numFmtId="0" fontId="0" fillId="6" borderId="10" xfId="0" applyFill="1" applyBorder="1" applyAlignment="1">
      <alignment horizontal="center" vertical="center" wrapText="1"/>
    </xf>
    <xf numFmtId="0" fontId="0" fillId="6" borderId="10" xfId="0" applyNumberFormat="1" applyFill="1" applyBorder="1" applyAlignment="1">
      <alignment horizontal="center" vertical="center" wrapText="1"/>
    </xf>
    <xf numFmtId="0" fontId="0" fillId="6" borderId="12" xfId="0" applyFill="1" applyBorder="1" applyAlignment="1">
      <alignment horizontal="center" vertical="center" wrapText="1"/>
    </xf>
    <xf numFmtId="0" fontId="5" fillId="6" borderId="19" xfId="6" applyFill="1" applyBorder="1" applyAlignment="1">
      <alignment horizontal="left" vertical="center"/>
    </xf>
    <xf numFmtId="165" fontId="5" fillId="6" borderId="6" xfId="6" applyNumberFormat="1" applyFill="1" applyBorder="1">
      <alignment horizontal="left" vertical="center"/>
    </xf>
    <xf numFmtId="0" fontId="0" fillId="0" borderId="7" xfId="0" applyBorder="1" applyAlignment="1">
      <alignment horizontal="center" vertical="center" wrapText="1"/>
    </xf>
    <xf numFmtId="0" fontId="5" fillId="6" borderId="10" xfId="6" applyFill="1" applyBorder="1" applyAlignment="1">
      <alignment horizontal="center" vertical="center"/>
    </xf>
    <xf numFmtId="16" fontId="4" fillId="6" borderId="10" xfId="6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16" fontId="4" fillId="7" borderId="10" xfId="6" applyNumberFormat="1" applyFont="1" applyFill="1" applyBorder="1" applyAlignment="1">
      <alignment horizontal="center" vertical="center"/>
    </xf>
    <xf numFmtId="16" fontId="4" fillId="9" borderId="10" xfId="6" applyNumberFormat="1" applyFont="1" applyFill="1" applyBorder="1" applyAlignment="1">
      <alignment horizontal="center" vertical="center"/>
    </xf>
    <xf numFmtId="0" fontId="5" fillId="6" borderId="19" xfId="0" applyFont="1" applyFill="1" applyBorder="1" applyAlignment="1">
      <alignment horizontal="left" vertical="center" wrapText="1"/>
    </xf>
    <xf numFmtId="0" fontId="16" fillId="6" borderId="6" xfId="8" applyNumberFormat="1" applyFont="1" applyFill="1" applyBorder="1" applyAlignment="1">
      <alignment horizontal="right" vertical="center" indent="1"/>
    </xf>
    <xf numFmtId="164" fontId="18" fillId="6" borderId="14" xfId="8" applyNumberFormat="1" applyFont="1" applyFill="1" applyBorder="1">
      <alignment horizontal="right" vertical="center" indent="1"/>
    </xf>
    <xf numFmtId="165" fontId="5" fillId="6" borderId="5" xfId="8" applyNumberFormat="1" applyFont="1" applyFill="1" applyBorder="1" applyAlignment="1">
      <alignment horizontal="center" vertical="center"/>
    </xf>
    <xf numFmtId="164" fontId="19" fillId="6" borderId="5" xfId="6" applyNumberFormat="1" applyFont="1" applyFill="1" applyBorder="1" applyAlignment="1">
      <alignment horizontal="center" vertical="center"/>
    </xf>
    <xf numFmtId="165" fontId="0" fillId="9" borderId="5" xfId="8" applyNumberFormat="1" applyFont="1" applyFill="1" applyBorder="1" applyProtection="1">
      <alignment horizontal="right" vertical="center" indent="1"/>
    </xf>
    <xf numFmtId="165" fontId="0" fillId="9" borderId="6" xfId="8" applyNumberFormat="1" applyFont="1" applyFill="1" applyBorder="1" applyProtection="1">
      <alignment horizontal="right" vertical="center" indent="1"/>
    </xf>
    <xf numFmtId="165" fontId="16" fillId="9" borderId="6" xfId="8" applyNumberFormat="1" applyFont="1" applyFill="1" applyBorder="1" applyAlignment="1">
      <alignment horizontal="right" vertical="center" indent="1"/>
    </xf>
    <xf numFmtId="164" fontId="0" fillId="9" borderId="5" xfId="8" applyNumberFormat="1" applyFont="1" applyFill="1" applyBorder="1" applyProtection="1">
      <alignment horizontal="right" vertical="center" indent="1"/>
    </xf>
    <xf numFmtId="164" fontId="0" fillId="9" borderId="11" xfId="8" applyNumberFormat="1" applyFont="1" applyFill="1" applyBorder="1" applyProtection="1">
      <alignment horizontal="right" vertical="center" indent="1"/>
    </xf>
    <xf numFmtId="164" fontId="20" fillId="6" borderId="5" xfId="6" applyNumberFormat="1" applyFont="1" applyFill="1" applyBorder="1" applyAlignment="1">
      <alignment horizontal="center" vertical="center"/>
    </xf>
    <xf numFmtId="166" fontId="17" fillId="6" borderId="13" xfId="8" applyNumberFormat="1" applyFont="1" applyFill="1" applyBorder="1">
      <alignment horizontal="right" vertical="center" indent="1"/>
    </xf>
    <xf numFmtId="167" fontId="4" fillId="6" borderId="13" xfId="8" applyNumberFormat="1" applyFont="1" applyFill="1" applyBorder="1">
      <alignment horizontal="right" vertical="center" indent="1"/>
    </xf>
    <xf numFmtId="0" fontId="0" fillId="6" borderId="0" xfId="0" applyFill="1">
      <alignment horizontal="left" vertical="center" wrapText="1" indent="1"/>
    </xf>
    <xf numFmtId="166" fontId="5" fillId="6" borderId="5" xfId="6" applyNumberFormat="1" applyFill="1" applyBorder="1">
      <alignment horizontal="left" vertical="center"/>
    </xf>
    <xf numFmtId="0" fontId="0" fillId="7" borderId="19" xfId="0" applyFont="1" applyFill="1" applyBorder="1" applyAlignment="1">
      <alignment horizontal="center" vertical="center" wrapText="1"/>
    </xf>
    <xf numFmtId="16" fontId="0" fillId="7" borderId="10" xfId="0" applyNumberFormat="1" applyFill="1" applyBorder="1" applyAlignment="1">
      <alignment horizontal="center" vertical="center" wrapText="1"/>
    </xf>
    <xf numFmtId="0" fontId="0" fillId="7" borderId="19" xfId="0" applyNumberFormat="1" applyFont="1" applyFill="1" applyBorder="1" applyAlignment="1">
      <alignment horizontal="center" vertical="center" wrapText="1"/>
    </xf>
    <xf numFmtId="166" fontId="0" fillId="7" borderId="6" xfId="8" applyNumberFormat="1" applyFont="1" applyFill="1" applyBorder="1" applyProtection="1">
      <alignment horizontal="right" vertical="center" indent="1"/>
    </xf>
    <xf numFmtId="167" fontId="0" fillId="7" borderId="5" xfId="8" applyNumberFormat="1" applyFont="1" applyFill="1" applyBorder="1" applyProtection="1">
      <alignment horizontal="right" vertical="center" indent="1"/>
    </xf>
    <xf numFmtId="167" fontId="0" fillId="7" borderId="11" xfId="8" applyNumberFormat="1" applyFont="1" applyFill="1" applyBorder="1" applyProtection="1">
      <alignment horizontal="right" vertical="center" indent="1"/>
    </xf>
    <xf numFmtId="16" fontId="5" fillId="6" borderId="10" xfId="6" applyNumberFormat="1" applyFill="1" applyBorder="1" applyAlignment="1">
      <alignment horizontal="center" vertical="center"/>
    </xf>
    <xf numFmtId="165" fontId="5" fillId="7" borderId="5" xfId="8" applyNumberFormat="1" applyFont="1" applyFill="1" applyBorder="1">
      <alignment horizontal="right" vertical="center" indent="1"/>
    </xf>
    <xf numFmtId="165" fontId="5" fillId="7" borderId="6" xfId="6" applyNumberFormat="1" applyFill="1" applyBorder="1">
      <alignment horizontal="left" vertical="center"/>
    </xf>
    <xf numFmtId="165" fontId="10" fillId="7" borderId="6" xfId="8" applyNumberFormat="1" applyFont="1" applyFill="1" applyBorder="1">
      <alignment horizontal="right" vertical="center" indent="1"/>
    </xf>
    <xf numFmtId="164" fontId="5" fillId="7" borderId="5" xfId="6" applyNumberFormat="1" applyFill="1" applyBorder="1">
      <alignment horizontal="left" vertical="center"/>
    </xf>
    <xf numFmtId="164" fontId="5" fillId="7" borderId="0" xfId="6" applyNumberFormat="1" applyFill="1" applyBorder="1">
      <alignment horizontal="left" vertical="center"/>
    </xf>
    <xf numFmtId="0" fontId="4" fillId="7" borderId="19" xfId="6" applyFont="1" applyFill="1" applyBorder="1" applyAlignment="1">
      <alignment horizontal="center" vertical="center"/>
    </xf>
    <xf numFmtId="0" fontId="13" fillId="0" borderId="0" xfId="0" applyFont="1" applyBorder="1" applyAlignment="1">
      <alignment horizontal="left" vertical="center" wrapText="1"/>
    </xf>
    <xf numFmtId="0" fontId="11" fillId="0" borderId="0" xfId="1" applyFont="1" applyBorder="1" applyAlignment="1" applyProtection="1">
      <alignment horizontal="left" vertical="center"/>
    </xf>
    <xf numFmtId="0" fontId="12" fillId="0" borderId="0" xfId="0" applyFont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15" fillId="8" borderId="15" xfId="3" applyFont="1" applyFill="1" applyBorder="1" applyAlignment="1">
      <alignment horizontal="center" vertical="center" wrapText="1"/>
    </xf>
    <xf numFmtId="0" fontId="15" fillId="8" borderId="18" xfId="3" applyFont="1" applyFill="1" applyBorder="1" applyAlignment="1">
      <alignment horizontal="center" vertical="center" wrapText="1"/>
    </xf>
    <xf numFmtId="0" fontId="15" fillId="8" borderId="16" xfId="3" applyFont="1" applyFill="1" applyBorder="1" applyAlignment="1">
      <alignment horizontal="center" vertical="center" wrapText="1"/>
    </xf>
  </cellXfs>
  <cellStyles count="11">
    <cellStyle name="20 % - Accent1" xfId="7" builtinId="30" customBuiltin="1"/>
    <cellStyle name="20 % - Accent5" xfId="10" builtinId="46" customBuiltin="1"/>
    <cellStyle name="Milliers" xfId="5" builtinId="3" customBuiltin="1"/>
    <cellStyle name="Monétaire" xfId="8" builtinId="4" customBuiltin="1"/>
    <cellStyle name="Normal" xfId="0" builtinId="0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9" builtinId="19" customBuiltin="1"/>
    <cellStyle name="Total" xfId="6" builtinId="25" customBuiltin="1"/>
  </cellStyles>
  <dxfs count="10">
    <dxf>
      <numFmt numFmtId="165" formatCode="_([$$-409]* #,##0.00_);_([$$-409]* \(#,##0.00\);_([$$-409]* &quot;-&quot;??_);_(@_)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_([$$-409]* #,##0.00_);_([$$-409]* \(#,##0.00\);_([$$-409]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 textRotation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outline="0">
        <bottom style="medium">
          <color theme="4"/>
        </bottom>
      </border>
    </dxf>
    <dxf>
      <fill>
        <patternFill patternType="solid">
          <fgColor indexed="64"/>
          <bgColor theme="2" tint="-9.9978637043366805E-2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</dxf>
    <dxf>
      <font>
        <color theme="1" tint="0.14996795556505021"/>
      </font>
      <fill>
        <patternFill>
          <bgColor theme="4" tint="0.79998168889431442"/>
        </patternFill>
      </fill>
      <border diagonalUp="0" diagonalDown="0">
        <left/>
        <right/>
        <top style="thin">
          <color theme="4"/>
        </top>
        <bottom style="medium">
          <color theme="4"/>
        </bottom>
        <vertical/>
        <horizontal/>
      </border>
    </dxf>
    <dxf>
      <font>
        <b/>
        <i val="0"/>
      </font>
    </dxf>
    <dxf>
      <font>
        <color theme="1" tint="0.34998626667073579"/>
      </font>
      <border>
        <left/>
        <right style="dotted">
          <color theme="0" tint="-0.34998626667073579"/>
        </right>
        <top/>
        <bottom style="thin">
          <color theme="4"/>
        </bottom>
        <vertical style="dotted">
          <color theme="0" tint="-0.34998626667073579"/>
        </vertical>
        <horizontal style="thin">
          <color theme="0" tint="-0.34998626667073579"/>
        </horizontal>
      </border>
    </dxf>
  </dxfs>
  <tableStyles count="1" defaultTableStyle="Balance Sheet" defaultPivotStyle="PivotStyleLight16">
    <tableStyle name="Balance Sheet" pivot="0" count="4">
      <tableStyleElement type="wholeTable" dxfId="9"/>
      <tableStyleElement type="headerRow" dxfId="8"/>
      <tableStyleElement type="totalRow" dxfId="7"/>
      <tableStyleElement type="firstColumn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419100</xdr:colOff>
      <xdr:row>0</xdr:row>
      <xdr:rowOff>0</xdr:rowOff>
    </xdr:from>
    <xdr:to>
      <xdr:col>8</xdr:col>
      <xdr:colOff>1430902</xdr:colOff>
      <xdr:row>1</xdr:row>
      <xdr:rowOff>304800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B3112F27-7303-4021-A4A5-B22B13F497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1534775" y="0"/>
          <a:ext cx="2621527" cy="81915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Dashboard" displayName="Dashboard" ref="B4:D42" headerRowDxfId="5" totalsRowDxfId="3" headerRowBorderDxfId="4" headerRowCellStyle="Total">
  <autoFilter ref="B4:D42">
    <filterColumn colId="0" hiddenButton="1"/>
    <filterColumn colId="1" hiddenButton="1"/>
    <filterColumn colId="2" hiddenButton="1"/>
  </autoFilter>
  <tableColumns count="3">
    <tableColumn id="1" name="BEGINNING BALANCE/SOLDE INITIAL" totalsRowLabel="Total" dataDxfId="2"/>
    <tableColumn id="2" name=" $       0" totalsRowFunction="sum" dataDxfId="1">
      <calculatedColumnFormula>SUMIFS(#REF!,#REF!,Dashboard[[#This Row],[BEGINNING BALANCE/SOLDE INITIAL]])+SUMIFS(#REF!,#REF!,Dashboard[[#This Row],[BEGINNING BALANCE/SOLDE INITIAL]])</calculatedColumnFormula>
    </tableColumn>
    <tableColumn id="3" name=" $-   " totalsRowFunction="sum" dataDxfId="0">
      <calculatedColumnFormula>SUMIFS(#REF!,#REF!,Dashboard[[#This Row],[BEGINNING BALANCE/SOLDE INITIAL]])+SUMIFS(#REF!,#REF!,Dashboard[[#This Row],[BEGINNING BALANCE/SOLDE INITIAL]])</calculatedColumnFormula>
    </tableColumn>
  </tableColumns>
  <tableStyleInfo name="Balance Sheet" showFirstColumn="0" showLastColumn="0" showRowStripes="0" showColumnStripes="0"/>
  <extLst>
    <ext xmlns:x14="http://schemas.microsoft.com/office/spreadsheetml/2009/9/main" uri="{504A1905-F514-4f6f-8877-14C23A59335A}">
      <x14:table altTextSummary="Select Asset Type to automatically update  comparison year values in this table. Total Assets, Total Liabilities &amp; Stockholder Equity, and Balance are calculated at end of table"/>
    </ext>
  </extLst>
</table>
</file>

<file path=xl/theme/theme1.xml><?xml version="1.0" encoding="utf-8"?>
<a:theme xmlns:a="http://schemas.openxmlformats.org/drawingml/2006/main" name="Office Theme">
  <a:themeElements>
    <a:clrScheme name="Balance Sheet">
      <a:dk1>
        <a:sysClr val="windowText" lastClr="000000"/>
      </a:dk1>
      <a:lt1>
        <a:sysClr val="window" lastClr="FFFFFF"/>
      </a:lt1>
      <a:dk2>
        <a:srgbClr val="313F55"/>
      </a:dk2>
      <a:lt2>
        <a:srgbClr val="F2F2F2"/>
      </a:lt2>
      <a:accent1>
        <a:srgbClr val="308DA2"/>
      </a:accent1>
      <a:accent2>
        <a:srgbClr val="EB7A20"/>
      </a:accent2>
      <a:accent3>
        <a:srgbClr val="23A823"/>
      </a:accent3>
      <a:accent4>
        <a:srgbClr val="9D4CA4"/>
      </a:accent4>
      <a:accent5>
        <a:srgbClr val="FFC000"/>
      </a:accent5>
      <a:accent6>
        <a:srgbClr val="DC3220"/>
      </a:accent6>
      <a:hlink>
        <a:srgbClr val="1AA2B5"/>
      </a:hlink>
      <a:folHlink>
        <a:srgbClr val="9D4CA4"/>
      </a:folHlink>
    </a:clrScheme>
    <a:fontScheme name="Balance Sheet">
      <a:majorFont>
        <a:latin typeface="Franklin Gothic Medium"/>
        <a:ea typeface=""/>
        <a:cs typeface=""/>
      </a:majorFont>
      <a:minorFont>
        <a:latin typeface="Franklin Gothic Medium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4"/>
    <pageSetUpPr autoPageBreaks="0" fitToPage="1"/>
  </sheetPr>
  <dimension ref="A1:I45"/>
  <sheetViews>
    <sheetView showGridLines="0" tabSelected="1" workbookViewId="0">
      <selection sqref="A1:I45"/>
    </sheetView>
  </sheetViews>
  <sheetFormatPr baseColWidth="10" defaultColWidth="9.33203125" defaultRowHeight="30" customHeight="1"/>
  <cols>
    <col min="1" max="1" width="8.44140625" style="39" customWidth="1"/>
    <col min="2" max="2" width="46.109375" customWidth="1"/>
    <col min="3" max="4" width="18.77734375" customWidth="1"/>
    <col min="5" max="5" width="19.6640625" customWidth="1"/>
    <col min="6" max="6" width="0.88671875" customWidth="1"/>
    <col min="7" max="8" width="18.77734375" customWidth="1"/>
    <col min="9" max="9" width="21.33203125" customWidth="1"/>
  </cols>
  <sheetData>
    <row r="1" spans="1:9" ht="40.5" customHeight="1">
      <c r="A1" s="71" t="s">
        <v>2</v>
      </c>
      <c r="B1" s="71"/>
      <c r="C1" s="1"/>
      <c r="D1" s="1"/>
      <c r="E1" s="1"/>
      <c r="F1" s="1"/>
      <c r="G1" s="1"/>
      <c r="H1" s="72" t="s">
        <v>16</v>
      </c>
      <c r="I1" s="72"/>
    </row>
    <row r="2" spans="1:9" ht="86.25" customHeight="1" thickBot="1">
      <c r="A2" s="70" t="s">
        <v>51</v>
      </c>
      <c r="B2" s="70"/>
      <c r="C2" s="2"/>
      <c r="D2" s="2"/>
      <c r="E2" s="2"/>
      <c r="F2" s="2"/>
      <c r="G2" s="2"/>
      <c r="H2" s="73"/>
      <c r="I2" s="73"/>
    </row>
    <row r="3" spans="1:9" ht="36" customHeight="1">
      <c r="A3" s="36" t="s">
        <v>0</v>
      </c>
      <c r="B3" s="7" t="s">
        <v>1</v>
      </c>
      <c r="C3" s="8" t="s">
        <v>3</v>
      </c>
      <c r="D3" s="8" t="s">
        <v>5</v>
      </c>
      <c r="E3" s="8" t="s">
        <v>10</v>
      </c>
      <c r="F3" s="74"/>
      <c r="G3" s="15" t="s">
        <v>4</v>
      </c>
      <c r="H3" s="8" t="s">
        <v>6</v>
      </c>
      <c r="I3" s="9" t="s">
        <v>7</v>
      </c>
    </row>
    <row r="4" spans="1:9" ht="30" customHeight="1">
      <c r="A4" s="37"/>
      <c r="B4" s="21" t="s">
        <v>8</v>
      </c>
      <c r="C4" s="45" t="s">
        <v>45</v>
      </c>
      <c r="D4" s="56" t="s">
        <v>24</v>
      </c>
      <c r="E4" s="11">
        <v>0</v>
      </c>
      <c r="F4" s="75"/>
      <c r="G4" s="6">
        <v>0</v>
      </c>
      <c r="H4" s="46">
        <v>525.55999999999995</v>
      </c>
      <c r="I4" s="10">
        <v>0</v>
      </c>
    </row>
    <row r="5" spans="1:9" ht="30" customHeight="1">
      <c r="A5" s="63">
        <v>44511</v>
      </c>
      <c r="B5" s="34" t="s">
        <v>23</v>
      </c>
      <c r="C5" s="45">
        <v>0</v>
      </c>
      <c r="D5" s="35">
        <v>0</v>
      </c>
      <c r="E5" s="11">
        <v>0</v>
      </c>
      <c r="F5" s="75"/>
      <c r="G5" s="6">
        <v>10000</v>
      </c>
      <c r="H5" s="52">
        <v>0</v>
      </c>
      <c r="I5" s="10">
        <v>0</v>
      </c>
    </row>
    <row r="6" spans="1:9" ht="30" customHeight="1">
      <c r="A6" s="63"/>
      <c r="B6" s="34" t="s">
        <v>28</v>
      </c>
      <c r="C6" s="45"/>
      <c r="D6" s="35">
        <v>13000</v>
      </c>
      <c r="E6" s="11"/>
      <c r="F6" s="75"/>
      <c r="G6" s="6">
        <v>11517.67</v>
      </c>
      <c r="H6" s="52"/>
      <c r="I6" s="10"/>
    </row>
    <row r="7" spans="1:9" ht="30" customHeight="1">
      <c r="A7" s="38"/>
      <c r="B7" s="34" t="s">
        <v>18</v>
      </c>
      <c r="C7" s="3">
        <v>0</v>
      </c>
      <c r="D7" s="35">
        <v>0</v>
      </c>
      <c r="E7" s="11">
        <v>0</v>
      </c>
      <c r="F7" s="75"/>
      <c r="G7" s="6">
        <v>0</v>
      </c>
      <c r="H7" s="6">
        <v>0</v>
      </c>
      <c r="I7" s="10">
        <v>0</v>
      </c>
    </row>
    <row r="8" spans="1:9" ht="30" customHeight="1">
      <c r="A8" s="40">
        <v>44530</v>
      </c>
      <c r="B8" s="69" t="s">
        <v>47</v>
      </c>
      <c r="C8" s="64">
        <v>4900</v>
      </c>
      <c r="D8" s="65">
        <v>0</v>
      </c>
      <c r="E8" s="66">
        <v>0</v>
      </c>
      <c r="F8" s="75"/>
      <c r="G8" s="67">
        <v>0</v>
      </c>
      <c r="H8" s="68">
        <v>0</v>
      </c>
      <c r="I8" s="67">
        <v>0</v>
      </c>
    </row>
    <row r="9" spans="1:9" ht="30" customHeight="1">
      <c r="A9" s="40">
        <v>44530</v>
      </c>
      <c r="B9" s="69" t="s">
        <v>49</v>
      </c>
      <c r="C9" s="64">
        <v>4250</v>
      </c>
      <c r="D9" s="65">
        <v>0</v>
      </c>
      <c r="E9" s="66">
        <v>0</v>
      </c>
      <c r="F9" s="75"/>
      <c r="G9" s="67">
        <v>0</v>
      </c>
      <c r="H9" s="67">
        <v>0</v>
      </c>
      <c r="I9" s="67">
        <v>0</v>
      </c>
    </row>
    <row r="10" spans="1:9" ht="30" customHeight="1">
      <c r="A10" s="40">
        <v>44530</v>
      </c>
      <c r="B10" s="69" t="s">
        <v>48</v>
      </c>
      <c r="C10" s="64">
        <v>4900</v>
      </c>
      <c r="D10" s="65">
        <v>0</v>
      </c>
      <c r="E10" s="66">
        <v>0</v>
      </c>
      <c r="F10" s="75"/>
      <c r="G10" s="67">
        <v>0</v>
      </c>
      <c r="H10" s="67">
        <v>0</v>
      </c>
      <c r="I10" s="67">
        <v>0</v>
      </c>
    </row>
    <row r="11" spans="1:9" ht="30" customHeight="1">
      <c r="A11" s="31"/>
      <c r="B11" s="22" t="s">
        <v>11</v>
      </c>
      <c r="C11" s="16"/>
      <c r="D11" s="16"/>
      <c r="E11" s="17"/>
      <c r="F11" s="75"/>
      <c r="G11" s="16"/>
      <c r="H11" s="55"/>
      <c r="I11" s="16"/>
    </row>
    <row r="12" spans="1:9" ht="30" customHeight="1">
      <c r="A12" s="40">
        <v>44530</v>
      </c>
      <c r="B12" s="28" t="s">
        <v>44</v>
      </c>
      <c r="C12" s="23">
        <v>0</v>
      </c>
      <c r="D12" s="24">
        <v>0</v>
      </c>
      <c r="E12" s="12">
        <v>0</v>
      </c>
      <c r="F12" s="75"/>
      <c r="G12" s="25">
        <v>0</v>
      </c>
      <c r="H12" s="25">
        <v>431.08</v>
      </c>
      <c r="I12" s="27">
        <v>0</v>
      </c>
    </row>
    <row r="13" spans="1:9" ht="30" customHeight="1">
      <c r="A13" s="40">
        <v>44530</v>
      </c>
      <c r="B13" s="28" t="s">
        <v>25</v>
      </c>
      <c r="C13" s="23">
        <v>0</v>
      </c>
      <c r="D13" s="24">
        <v>0</v>
      </c>
      <c r="E13" s="12">
        <v>0</v>
      </c>
      <c r="F13" s="75"/>
      <c r="G13" s="25">
        <v>0</v>
      </c>
      <c r="H13" s="25">
        <v>862.16</v>
      </c>
      <c r="I13" s="27">
        <v>0</v>
      </c>
    </row>
    <row r="14" spans="1:9" ht="30" customHeight="1">
      <c r="A14" s="32"/>
      <c r="B14" s="19" t="s">
        <v>12</v>
      </c>
      <c r="C14" s="16"/>
      <c r="D14" s="16"/>
      <c r="E14" s="17"/>
      <c r="F14" s="75"/>
      <c r="G14" s="16"/>
      <c r="H14" s="26"/>
      <c r="I14" s="18"/>
    </row>
    <row r="15" spans="1:9" ht="30" customHeight="1">
      <c r="A15" s="40">
        <v>44530</v>
      </c>
      <c r="B15" s="28" t="s">
        <v>29</v>
      </c>
      <c r="C15" s="23">
        <v>0</v>
      </c>
      <c r="D15" s="24">
        <v>0</v>
      </c>
      <c r="E15" s="29">
        <v>0</v>
      </c>
      <c r="F15" s="75"/>
      <c r="G15" s="25">
        <v>0</v>
      </c>
      <c r="H15" s="25">
        <v>432.64</v>
      </c>
      <c r="I15" s="27">
        <v>0</v>
      </c>
    </row>
    <row r="16" spans="1:9" ht="30" customHeight="1">
      <c r="A16" s="40">
        <v>44530</v>
      </c>
      <c r="B16" s="28" t="s">
        <v>29</v>
      </c>
      <c r="C16" s="23">
        <v>0</v>
      </c>
      <c r="D16" s="24">
        <v>0</v>
      </c>
      <c r="E16" s="29">
        <v>0</v>
      </c>
      <c r="F16" s="75"/>
      <c r="G16" s="25">
        <v>0</v>
      </c>
      <c r="H16" s="25">
        <v>275.60000000000002</v>
      </c>
      <c r="I16" s="27">
        <v>0</v>
      </c>
    </row>
    <row r="17" spans="1:9" ht="30" customHeight="1">
      <c r="A17" s="40">
        <v>44530</v>
      </c>
      <c r="B17" s="28" t="s">
        <v>30</v>
      </c>
      <c r="C17" s="23">
        <v>0</v>
      </c>
      <c r="D17" s="24">
        <v>0</v>
      </c>
      <c r="E17" s="29">
        <v>0</v>
      </c>
      <c r="F17" s="75"/>
      <c r="G17" s="25">
        <v>0</v>
      </c>
      <c r="H17" s="25">
        <v>2746.17</v>
      </c>
      <c r="I17" s="27">
        <v>0</v>
      </c>
    </row>
    <row r="18" spans="1:9" ht="30" customHeight="1">
      <c r="A18" s="40">
        <v>44530</v>
      </c>
      <c r="B18" s="28" t="s">
        <v>30</v>
      </c>
      <c r="C18" s="23">
        <v>0</v>
      </c>
      <c r="D18" s="24">
        <v>0</v>
      </c>
      <c r="E18" s="29">
        <v>0</v>
      </c>
      <c r="F18" s="75"/>
      <c r="G18" s="25">
        <v>0</v>
      </c>
      <c r="H18" s="25">
        <v>1085.94</v>
      </c>
      <c r="I18" s="27">
        <v>0</v>
      </c>
    </row>
    <row r="19" spans="1:9" ht="30" customHeight="1">
      <c r="A19" s="40">
        <v>44530</v>
      </c>
      <c r="B19" s="28" t="s">
        <v>31</v>
      </c>
      <c r="C19" s="23">
        <v>0</v>
      </c>
      <c r="D19" s="24">
        <v>0</v>
      </c>
      <c r="E19" s="29">
        <v>0</v>
      </c>
      <c r="F19" s="75"/>
      <c r="G19" s="25">
        <v>0</v>
      </c>
      <c r="H19" s="25">
        <v>1006.72</v>
      </c>
      <c r="I19" s="27">
        <v>0</v>
      </c>
    </row>
    <row r="20" spans="1:9" ht="30" customHeight="1">
      <c r="A20" s="40">
        <v>44530</v>
      </c>
      <c r="B20" s="28" t="s">
        <v>31</v>
      </c>
      <c r="C20" s="23">
        <v>0</v>
      </c>
      <c r="D20" s="24">
        <v>0</v>
      </c>
      <c r="E20" s="29">
        <v>0</v>
      </c>
      <c r="F20" s="75"/>
      <c r="G20" s="25">
        <v>0</v>
      </c>
      <c r="H20" s="25">
        <v>1052.48</v>
      </c>
      <c r="I20" s="27">
        <v>0</v>
      </c>
    </row>
    <row r="21" spans="1:9" ht="30" customHeight="1">
      <c r="A21" s="40">
        <v>44530</v>
      </c>
      <c r="B21" s="28" t="s">
        <v>32</v>
      </c>
      <c r="C21" s="23">
        <v>0</v>
      </c>
      <c r="D21" s="24">
        <v>0</v>
      </c>
      <c r="E21" s="29">
        <v>0</v>
      </c>
      <c r="F21" s="75"/>
      <c r="G21" s="25">
        <v>0</v>
      </c>
      <c r="H21" s="25">
        <v>189.28</v>
      </c>
      <c r="I21" s="27">
        <v>0</v>
      </c>
    </row>
    <row r="22" spans="1:9" ht="30" customHeight="1">
      <c r="A22" s="40">
        <v>44530</v>
      </c>
      <c r="B22" s="28" t="s">
        <v>33</v>
      </c>
      <c r="C22" s="23">
        <v>0</v>
      </c>
      <c r="D22" s="24">
        <v>0</v>
      </c>
      <c r="E22" s="29">
        <v>0</v>
      </c>
      <c r="F22" s="75"/>
      <c r="G22" s="25">
        <v>0</v>
      </c>
      <c r="H22" s="25">
        <v>150</v>
      </c>
      <c r="I22" s="27">
        <v>0</v>
      </c>
    </row>
    <row r="23" spans="1:9" ht="30" customHeight="1">
      <c r="A23" s="40">
        <v>44530</v>
      </c>
      <c r="B23" s="28" t="s">
        <v>27</v>
      </c>
      <c r="C23" s="23">
        <v>0</v>
      </c>
      <c r="D23" s="24">
        <v>0</v>
      </c>
      <c r="E23" s="29">
        <v>0</v>
      </c>
      <c r="F23" s="75"/>
      <c r="G23" s="25">
        <v>0</v>
      </c>
      <c r="H23" s="25">
        <v>115</v>
      </c>
      <c r="I23" s="27">
        <v>0</v>
      </c>
    </row>
    <row r="24" spans="1:9" ht="30" customHeight="1">
      <c r="A24" s="40">
        <v>44530</v>
      </c>
      <c r="B24" s="28" t="s">
        <v>34</v>
      </c>
      <c r="C24" s="23">
        <v>0</v>
      </c>
      <c r="D24" s="24">
        <v>0</v>
      </c>
      <c r="E24" s="29">
        <v>0</v>
      </c>
      <c r="F24" s="75"/>
      <c r="G24" s="25">
        <v>0</v>
      </c>
      <c r="H24" s="25">
        <v>57</v>
      </c>
      <c r="I24" s="27">
        <v>0</v>
      </c>
    </row>
    <row r="25" spans="1:9" ht="30" customHeight="1">
      <c r="A25" s="40">
        <v>44530</v>
      </c>
      <c r="B25" s="28" t="s">
        <v>35</v>
      </c>
      <c r="C25" s="23">
        <v>0</v>
      </c>
      <c r="D25" s="24">
        <v>0</v>
      </c>
      <c r="E25" s="29">
        <v>0</v>
      </c>
      <c r="F25" s="75"/>
      <c r="G25" s="25">
        <v>0</v>
      </c>
      <c r="H25" s="25">
        <v>156</v>
      </c>
      <c r="I25" s="27">
        <v>0</v>
      </c>
    </row>
    <row r="26" spans="1:9" ht="30" customHeight="1">
      <c r="A26" s="40">
        <v>44530</v>
      </c>
      <c r="B26" s="28" t="s">
        <v>26</v>
      </c>
      <c r="C26" s="23">
        <v>0</v>
      </c>
      <c r="D26" s="24">
        <v>0</v>
      </c>
      <c r="E26" s="29">
        <v>0</v>
      </c>
      <c r="F26" s="75"/>
      <c r="G26" s="25">
        <v>0</v>
      </c>
      <c r="H26" s="25">
        <v>468</v>
      </c>
      <c r="I26" s="27">
        <v>0</v>
      </c>
    </row>
    <row r="27" spans="1:9" ht="30" customHeight="1">
      <c r="A27" s="40">
        <v>44530</v>
      </c>
      <c r="B27" s="28" t="s">
        <v>20</v>
      </c>
      <c r="C27" s="23">
        <v>0</v>
      </c>
      <c r="D27" s="24">
        <v>0</v>
      </c>
      <c r="E27" s="29">
        <v>0</v>
      </c>
      <c r="F27" s="75"/>
      <c r="G27" s="25">
        <v>0</v>
      </c>
      <c r="H27" s="25">
        <v>1347.66</v>
      </c>
      <c r="I27" s="27">
        <v>0</v>
      </c>
    </row>
    <row r="28" spans="1:9" ht="30" customHeight="1">
      <c r="A28" s="40">
        <v>44530</v>
      </c>
      <c r="B28" s="28" t="s">
        <v>15</v>
      </c>
      <c r="C28" s="23">
        <v>0</v>
      </c>
      <c r="D28" s="24">
        <v>0</v>
      </c>
      <c r="E28" s="29">
        <v>0</v>
      </c>
      <c r="F28" s="75"/>
      <c r="G28" s="25">
        <v>0</v>
      </c>
      <c r="H28" s="25">
        <v>1454.96</v>
      </c>
      <c r="I28" s="27">
        <v>0</v>
      </c>
    </row>
    <row r="29" spans="1:9" ht="30" customHeight="1">
      <c r="A29" s="32"/>
      <c r="B29" s="19" t="s">
        <v>17</v>
      </c>
      <c r="C29" s="16"/>
      <c r="D29" s="16"/>
      <c r="E29" s="17"/>
      <c r="F29" s="75"/>
      <c r="G29" s="16"/>
      <c r="H29" s="26"/>
      <c r="I29" s="18"/>
    </row>
    <row r="30" spans="1:9" ht="30" customHeight="1">
      <c r="A30" s="58">
        <v>44530</v>
      </c>
      <c r="B30" s="59" t="s">
        <v>36</v>
      </c>
      <c r="C30" s="23">
        <v>0</v>
      </c>
      <c r="D30" s="24">
        <v>0</v>
      </c>
      <c r="E30" s="60">
        <v>0</v>
      </c>
      <c r="F30" s="75"/>
      <c r="G30" s="61">
        <v>0</v>
      </c>
      <c r="H30" s="25">
        <v>267.08999999999997</v>
      </c>
      <c r="I30" s="62">
        <v>0</v>
      </c>
    </row>
    <row r="31" spans="1:9" ht="30" customHeight="1">
      <c r="A31" s="58">
        <v>44530</v>
      </c>
      <c r="B31" s="59" t="s">
        <v>37</v>
      </c>
      <c r="C31" s="23">
        <v>0</v>
      </c>
      <c r="D31" s="24">
        <v>0</v>
      </c>
      <c r="E31" s="60">
        <v>0</v>
      </c>
      <c r="F31" s="75"/>
      <c r="G31" s="61">
        <v>0</v>
      </c>
      <c r="H31" s="25">
        <v>591.20000000000005</v>
      </c>
      <c r="I31" s="62">
        <v>0</v>
      </c>
    </row>
    <row r="32" spans="1:9" ht="30" customHeight="1">
      <c r="A32" s="58">
        <v>44530</v>
      </c>
      <c r="B32" s="59" t="s">
        <v>38</v>
      </c>
      <c r="C32" s="23">
        <v>0</v>
      </c>
      <c r="D32" s="24">
        <v>0</v>
      </c>
      <c r="E32" s="60">
        <v>0</v>
      </c>
      <c r="F32" s="75"/>
      <c r="G32" s="61">
        <v>0</v>
      </c>
      <c r="H32" s="25">
        <v>615.95000000000005</v>
      </c>
      <c r="I32" s="62">
        <v>0</v>
      </c>
    </row>
    <row r="33" spans="1:9" ht="30" customHeight="1">
      <c r="A33" s="58">
        <v>44530</v>
      </c>
      <c r="B33" s="59" t="s">
        <v>39</v>
      </c>
      <c r="C33" s="23">
        <v>0</v>
      </c>
      <c r="D33" s="24">
        <v>0</v>
      </c>
      <c r="E33" s="60">
        <v>0</v>
      </c>
      <c r="F33" s="75"/>
      <c r="G33" s="61">
        <v>0</v>
      </c>
      <c r="H33" s="25">
        <v>1473.34</v>
      </c>
      <c r="I33" s="62">
        <v>0</v>
      </c>
    </row>
    <row r="34" spans="1:9" ht="30" customHeight="1">
      <c r="A34" s="58">
        <v>44530</v>
      </c>
      <c r="B34" s="59" t="s">
        <v>40</v>
      </c>
      <c r="C34" s="23">
        <v>0</v>
      </c>
      <c r="D34" s="24">
        <v>46.25</v>
      </c>
      <c r="E34" s="60">
        <v>0</v>
      </c>
      <c r="F34" s="75"/>
      <c r="G34" s="61">
        <v>0</v>
      </c>
      <c r="H34" s="25">
        <v>0</v>
      </c>
      <c r="I34" s="62">
        <v>0</v>
      </c>
    </row>
    <row r="35" spans="1:9" ht="30" customHeight="1">
      <c r="A35" s="58">
        <v>44530</v>
      </c>
      <c r="B35" s="59" t="s">
        <v>41</v>
      </c>
      <c r="C35" s="23">
        <v>0</v>
      </c>
      <c r="D35" s="24">
        <v>120</v>
      </c>
      <c r="E35" s="60">
        <v>0</v>
      </c>
      <c r="F35" s="75"/>
      <c r="G35" s="61">
        <v>0</v>
      </c>
      <c r="H35" s="25">
        <v>0</v>
      </c>
      <c r="I35" s="62">
        <v>0</v>
      </c>
    </row>
    <row r="36" spans="1:9" ht="30" customHeight="1">
      <c r="A36" s="40">
        <v>44530</v>
      </c>
      <c r="B36" s="28" t="s">
        <v>42</v>
      </c>
      <c r="C36" s="23">
        <v>0</v>
      </c>
      <c r="D36" s="24">
        <v>6.64</v>
      </c>
      <c r="E36" s="30">
        <v>0</v>
      </c>
      <c r="F36" s="75"/>
      <c r="G36" s="25">
        <v>0</v>
      </c>
      <c r="H36" s="25">
        <v>0</v>
      </c>
      <c r="I36" s="27">
        <v>0</v>
      </c>
    </row>
    <row r="37" spans="1:9" ht="30" customHeight="1">
      <c r="A37" s="38"/>
      <c r="B37" s="42" t="s">
        <v>19</v>
      </c>
      <c r="C37" s="16"/>
      <c r="D37" s="17"/>
      <c r="E37" s="43"/>
      <c r="F37" s="75"/>
      <c r="G37" s="16"/>
      <c r="H37" s="16"/>
      <c r="I37" s="18"/>
    </row>
    <row r="38" spans="1:9" ht="30" customHeight="1">
      <c r="A38" s="40">
        <v>44530</v>
      </c>
      <c r="B38" s="28" t="s">
        <v>21</v>
      </c>
      <c r="C38" s="23">
        <v>0</v>
      </c>
      <c r="D38" s="24">
        <v>0</v>
      </c>
      <c r="E38" s="30">
        <v>0</v>
      </c>
      <c r="F38" s="75"/>
      <c r="G38" s="25">
        <v>0</v>
      </c>
      <c r="H38" s="25">
        <v>2147.1799999999998</v>
      </c>
      <c r="I38" s="27">
        <v>0</v>
      </c>
    </row>
    <row r="39" spans="1:9" ht="30" customHeight="1">
      <c r="A39" s="41"/>
      <c r="B39" s="42" t="s">
        <v>22</v>
      </c>
      <c r="C39" s="47"/>
      <c r="D39" s="48"/>
      <c r="E39" s="49"/>
      <c r="F39" s="75"/>
      <c r="G39" s="50"/>
      <c r="H39" s="50"/>
      <c r="I39" s="51"/>
    </row>
    <row r="40" spans="1:9" ht="30" customHeight="1">
      <c r="A40" s="40">
        <v>44530</v>
      </c>
      <c r="B40" s="57" t="s">
        <v>43</v>
      </c>
      <c r="C40" s="23">
        <v>0</v>
      </c>
      <c r="D40" s="24">
        <v>0</v>
      </c>
      <c r="E40" s="30">
        <v>0</v>
      </c>
      <c r="F40" s="75"/>
      <c r="G40" s="25">
        <v>0</v>
      </c>
      <c r="H40" s="25">
        <v>311.45999999999998</v>
      </c>
      <c r="I40" s="27">
        <v>0</v>
      </c>
    </row>
    <row r="41" spans="1:9" ht="30" customHeight="1">
      <c r="A41" s="32"/>
      <c r="B41" s="19" t="s">
        <v>13</v>
      </c>
      <c r="C41" s="16"/>
      <c r="D41" s="16"/>
      <c r="E41" s="17"/>
      <c r="F41" s="75"/>
      <c r="G41" s="16"/>
      <c r="H41" s="26"/>
      <c r="I41" s="18"/>
    </row>
    <row r="42" spans="1:9" ht="30" customHeight="1">
      <c r="A42" s="40">
        <v>44530</v>
      </c>
      <c r="B42" s="28" t="s">
        <v>14</v>
      </c>
      <c r="C42" s="23">
        <v>0</v>
      </c>
      <c r="D42" s="23">
        <v>0</v>
      </c>
      <c r="E42" s="29">
        <v>0</v>
      </c>
      <c r="F42" s="75"/>
      <c r="G42" s="25">
        <v>0</v>
      </c>
      <c r="H42" s="25">
        <v>156</v>
      </c>
      <c r="I42" s="27">
        <v>0</v>
      </c>
    </row>
    <row r="43" spans="1:9" ht="25.5" customHeight="1" thickBot="1">
      <c r="A43" s="33"/>
      <c r="B43" s="20" t="s">
        <v>9</v>
      </c>
      <c r="C43" s="13">
        <f>C8+C9+C10</f>
        <v>14050</v>
      </c>
      <c r="D43" s="13">
        <f>D6+D34+D35+D36</f>
        <v>13172.89</v>
      </c>
      <c r="E43" s="53">
        <f>C43-D43</f>
        <v>877.11000000000058</v>
      </c>
      <c r="F43" s="76"/>
      <c r="G43" s="14">
        <f>G5+G6</f>
        <v>21517.67</v>
      </c>
      <c r="H43" s="54">
        <f>525.56+H12+H13+H15+H16+H17+H18+H19+H20+H21+H22+H23+H24+H25+H26+H27+H28+H30+H31+H32+H33+H38+H40+H42</f>
        <v>17918.47</v>
      </c>
      <c r="I43" s="44">
        <f>G43-H43+I4</f>
        <v>3599.1999999999971</v>
      </c>
    </row>
    <row r="44" spans="1:9" ht="30" customHeight="1">
      <c r="I44" s="5" t="s">
        <v>46</v>
      </c>
    </row>
    <row r="45" spans="1:9" ht="30" customHeight="1">
      <c r="I45" s="4" t="s">
        <v>50</v>
      </c>
    </row>
  </sheetData>
  <sheetProtection insertColumns="0" insertRows="0" deleteColumns="0" deleteRows="0" selectLockedCells="1"/>
  <mergeCells count="4">
    <mergeCell ref="A2:B2"/>
    <mergeCell ref="A1:B1"/>
    <mergeCell ref="H1:I2"/>
    <mergeCell ref="F3:F43"/>
  </mergeCells>
  <phoneticPr fontId="14" type="noConversion"/>
  <dataValidations xWindow="1634" yWindow="784" count="9">
    <dataValidation allowBlank="1" showInputMessage="1" showErrorMessage="1" prompt="Balance is automatically calculated in cells at right" sqref="B43"/>
    <dataValidation allowBlank="1" showInputMessage="1" showErrorMessage="1" prompt="Enter comparison year 2 in this cell" sqref="D3:I3"/>
    <dataValidation allowBlank="1" showInputMessage="1" showErrorMessage="1" prompt="Enter comparison year 1 in this cell" sqref="C3"/>
    <dataValidation allowBlank="1" showInputMessage="1" showErrorMessage="1" prompt="Enter comparison years in cells C2 and D2 at right" sqref="B3"/>
    <dataValidation allowBlank="1" showInputMessage="1" showErrorMessage="1" prompt="Title of this worksheet is in this cell" sqref="A1"/>
    <dataValidation allowBlank="1" showInputMessage="1" showErrorMessage="1" prompt="Select Asset Type in this column. Year comparison values will automatically update. Press ALT+DOWN ARROW to open the drop-down list, then ENTER to make selection" sqref="B4:B10"/>
    <dataValidation allowBlank="1" showInputMessage="1" showErrorMessage="1" prompt=" Values for the above year from the Assets and Liabilities worksheets are automatically updated in this column under this heading" sqref="C4:C10"/>
    <dataValidation allowBlank="1" showInputMessage="1" showErrorMessage="1" prompt="Values for the above year from the Assets and Liabilities worksheets are automatically updated in this column under this heading" sqref="G4:I10 D4:E10"/>
    <dataValidation type="list" errorStyle="warning" allowBlank="1" showInputMessage="1" showErrorMessage="1" error="Select entry from the list. Select CANCEL, then press ALT+DOWN ARROW to open the drop-down list, then ENTER to make selection" sqref="B11:B42">
      <formula1>INDIRECT("Categories[Categories]")</formula1>
    </dataValidation>
  </dataValidations>
  <printOptions horizontalCentered="1"/>
  <pageMargins left="0.7" right="0.7" top="0.75" bottom="0.75" header="0.3" footer="0.3"/>
  <pageSetup paperSize="9" scale="30" orientation="landscape" r:id="rId1"/>
  <headerFooter differentFirst="1">
    <oddFooter>Page &amp;P of &amp;N</oddFooter>
  </headerFooter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4</vt:i4>
      </vt:variant>
    </vt:vector>
  </HeadingPairs>
  <TitlesOfParts>
    <vt:vector size="5" baseType="lpstr">
      <vt:lpstr>Summary</vt:lpstr>
      <vt:lpstr>FY_YEAR</vt:lpstr>
      <vt:lpstr>FY_YEAR_2</vt:lpstr>
      <vt:lpstr>Summary!Impression_des_titres</vt:lpstr>
      <vt:lpstr>Title1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Agnes</cp:lastModifiedBy>
  <cp:lastPrinted>2021-12-20T16:16:29Z</cp:lastPrinted>
  <dcterms:created xsi:type="dcterms:W3CDTF">2017-05-31T07:59:53Z</dcterms:created>
  <dcterms:modified xsi:type="dcterms:W3CDTF">2022-02-23T21:30:41Z</dcterms:modified>
</cp:coreProperties>
</file>